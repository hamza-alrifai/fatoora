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yth\OneDrive\Desktop\Chat GPT file for Reconcilation\"/>
    </mc:Choice>
  </mc:AlternateContent>
  <xr:revisionPtr revIDLastSave="0" documentId="13_ncr:1_{7A1A9068-6CC9-4FB6-AF81-D71E71BAEBB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Bin Sraiya" sheetId="2" r:id="rId1"/>
  </sheets>
  <definedNames>
    <definedName name="_xlnm._FilterDatabase" localSheetId="0" hidden="1">'Bin Sraiya'!$A$5:$L$70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82" i="2" l="1"/>
  <c r="B83" i="2"/>
  <c r="F81" i="2"/>
  <c r="D81" i="2"/>
  <c r="D82" i="2" s="1"/>
  <c r="D83" i="2" s="1"/>
  <c r="B81" i="2"/>
  <c r="F80" i="2"/>
  <c r="F79" i="2"/>
  <c r="G79" i="2" s="1"/>
  <c r="H72" i="2"/>
  <c r="E80" i="2" l="1"/>
  <c r="E79" i="2"/>
  <c r="H74" i="2"/>
  <c r="I74" i="2" s="1"/>
</calcChain>
</file>

<file path=xl/sharedStrings.xml><?xml version="1.0" encoding="utf-8"?>
<sst xmlns="http://schemas.openxmlformats.org/spreadsheetml/2006/main" count="290" uniqueCount="37">
  <si>
    <t>Serial No</t>
  </si>
  <si>
    <t>Truck No</t>
  </si>
  <si>
    <t>Trips</t>
  </si>
  <si>
    <t>QPMC Ticket</t>
  </si>
  <si>
    <t>Receipts</t>
  </si>
  <si>
    <t>Material Description</t>
  </si>
  <si>
    <t>Net Weight</t>
  </si>
  <si>
    <t>Date Format</t>
  </si>
  <si>
    <t>Vessel Name</t>
  </si>
  <si>
    <t>GABBRO 05-10MM</t>
  </si>
  <si>
    <t xml:space="preserve">Alsham Almasiea Trading </t>
  </si>
  <si>
    <t>GABBRO 10-20MM</t>
  </si>
  <si>
    <t xml:space="preserve"> GABBRO 05-10MM </t>
  </si>
  <si>
    <t>Customer</t>
  </si>
  <si>
    <t xml:space="preserve">Bin Sraiya </t>
  </si>
  <si>
    <t>Qcanadian</t>
  </si>
  <si>
    <t>Bin Sraiya  Reconciled -Deliveries for Gabbro Supply in thee  Period -(11-15  ) -Jan-2026 -by ALSHAM</t>
  </si>
  <si>
    <t>Transporter</t>
  </si>
  <si>
    <t>Supplier</t>
  </si>
  <si>
    <t>Non Bin Sraiya</t>
  </si>
  <si>
    <t>14/2026</t>
  </si>
  <si>
    <t>15/2026</t>
  </si>
  <si>
    <t>trip</t>
  </si>
  <si>
    <t>No of trip</t>
  </si>
  <si>
    <t xml:space="preserve">Size </t>
  </si>
  <si>
    <t xml:space="preserve">Qty </t>
  </si>
  <si>
    <t>20mm</t>
  </si>
  <si>
    <t>10mm</t>
  </si>
  <si>
    <t xml:space="preserve">should be </t>
  </si>
  <si>
    <t>shortage</t>
  </si>
  <si>
    <t>Size</t>
  </si>
  <si>
    <t>Qty</t>
  </si>
  <si>
    <t>Percentage</t>
  </si>
  <si>
    <t>No of Trip</t>
  </si>
  <si>
    <t>10 mm</t>
  </si>
  <si>
    <t>20 mm</t>
  </si>
  <si>
    <t>Bin sraiya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</si>
</sst>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yy;@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3" borderId="0" xfId="0" applyFill="1" applyAlignment="1">
      <alignment horizontal="center"/>
    </xf>
    <xf numFmtId="2" fontId="2" fillId="3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17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4" borderId="1" xfId="0" applyFont="1" applyFill="1" applyBorder="1" applyAlignment="1">
      <alignment horizontal="center"/>
    </xf>
    <xf numFmtId="10" fontId="2" fillId="4" borderId="1" xfId="1" applyNumberFormat="1" applyFont="1" applyFill="1" applyBorder="1" applyAlignment="1">
      <alignment horizontal="center"/>
    </xf>
    <xf numFmtId="1" fontId="2" fillId="4" borderId="1" xfId="0" applyNumberFormat="1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Medium4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D8F97-04EE-470D-A61A-DFEAD476B81F}">
  <dimension ref="A2:N88"/>
  <sheetViews>
    <sheetView tabSelected="1" zoomScaleNormal="100" workbookViewId="0">
      <selection activeCell="J11" sqref="J10:J11"/>
    </sheetView>
  </sheetViews>
  <sheetFormatPr defaultColWidth="11" defaultRowHeight="15.75" x14ac:dyDescent="0.5"/>
  <cols>
    <col min="1" max="1" width="8.375" style="1" customWidth="1"/>
    <col min="2" max="2" width="9.625" style="1" customWidth="1"/>
    <col min="3" max="3" width="6.625" style="1" customWidth="1"/>
    <col min="4" max="4" width="12" style="1" customWidth="1"/>
    <col min="5" max="5" width="12.3125" style="1" customWidth="1"/>
    <col min="6" max="6" width="9.4375" style="1" customWidth="1"/>
    <col min="7" max="7" width="19.5" style="1" customWidth="1"/>
    <col min="8" max="8" width="11.8125" style="1" customWidth="1"/>
    <col min="9" max="9" width="14" style="1" customWidth="1"/>
    <col min="10" max="10" width="27.875" style="1" customWidth="1"/>
    <col min="11" max="11" width="23.4375" style="1" customWidth="1"/>
    <col min="12" max="13" width="14" style="1" customWidth="1"/>
  </cols>
  <sheetData>
    <row r="2" spans="1:14" s="7" customFormat="1" ht="22.9" customHeight="1" x14ac:dyDescent="0.5">
      <c r="A2" s="4"/>
      <c r="B2" s="3"/>
      <c r="C2" s="5"/>
      <c r="D2" s="5"/>
      <c r="E2" s="5" t="s">
        <v>16</v>
      </c>
      <c r="F2" s="5"/>
      <c r="G2" s="5"/>
      <c r="H2" s="6"/>
      <c r="I2" s="4"/>
      <c r="J2" s="4"/>
      <c r="K2" s="4"/>
      <c r="L2" s="4"/>
      <c r="M2" s="4"/>
    </row>
    <row r="5" spans="1:14" s="7" customFormat="1" ht="22.5" customHeight="1" x14ac:dyDescent="0.5">
      <c r="A5" s="8" t="s">
        <v>0</v>
      </c>
      <c r="B5" s="8" t="s">
        <v>1</v>
      </c>
      <c r="C5" s="8" t="s">
        <v>2</v>
      </c>
      <c r="D5" s="25" t="s">
        <v>3</v>
      </c>
      <c r="E5" s="8" t="s">
        <v>13</v>
      </c>
      <c r="F5" s="8" t="s">
        <v>4</v>
      </c>
      <c r="G5" s="8" t="s">
        <v>5</v>
      </c>
      <c r="H5" s="8" t="s">
        <v>6</v>
      </c>
      <c r="I5" s="8" t="s">
        <v>7</v>
      </c>
      <c r="J5" s="8" t="s">
        <v>18</v>
      </c>
      <c r="K5" s="8" t="s">
        <v>17</v>
      </c>
      <c r="L5" s="8" t="s">
        <v>8</v>
      </c>
      <c r="M5" s="8"/>
    </row>
    <row r="6" spans="1:14" x14ac:dyDescent="0.5">
      <c r="A6" s="1">
        <v>1</v>
      </c>
      <c r="B6" s="1">
        <v>271299</v>
      </c>
      <c r="C6" s="1">
        <v>1</v>
      </c>
      <c r="D6" s="1">
        <v>9002073008</v>
      </c>
      <c r="E6" s="1" t="s">
        <v>14</v>
      </c>
      <c r="F6" s="1">
        <v>152452</v>
      </c>
      <c r="G6" s="1" t="s">
        <v>9</v>
      </c>
      <c r="H6" s="14">
        <v>28.66</v>
      </c>
      <c r="I6" s="19">
        <v>46033</v>
      </c>
      <c r="J6" s="1" t="s">
        <v>10</v>
      </c>
      <c r="K6" s="1" t="s">
        <v>15</v>
      </c>
    </row>
    <row r="7" spans="1:14" x14ac:dyDescent="0.5">
      <c r="A7" s="1">
        <v>2</v>
      </c>
      <c r="B7" s="1">
        <v>210869</v>
      </c>
      <c r="C7" s="1">
        <v>1</v>
      </c>
      <c r="D7" s="1">
        <v>9002073011</v>
      </c>
      <c r="E7" s="1" t="s">
        <v>14</v>
      </c>
      <c r="F7" s="1">
        <v>152451</v>
      </c>
      <c r="G7" s="1" t="s">
        <v>9</v>
      </c>
      <c r="H7" s="2">
        <v>29.04</v>
      </c>
      <c r="I7" s="19">
        <v>46033</v>
      </c>
      <c r="J7" s="1" t="s">
        <v>10</v>
      </c>
      <c r="K7" s="1" t="s">
        <v>15</v>
      </c>
    </row>
    <row r="8" spans="1:14" x14ac:dyDescent="0.5">
      <c r="A8" s="1">
        <v>3</v>
      </c>
      <c r="B8" s="1">
        <v>225294</v>
      </c>
      <c r="C8" s="1">
        <v>1</v>
      </c>
      <c r="D8" s="1">
        <v>9002073017</v>
      </c>
      <c r="E8" s="1" t="s">
        <v>14</v>
      </c>
      <c r="F8" s="1">
        <v>152455</v>
      </c>
      <c r="G8" s="1" t="s">
        <v>9</v>
      </c>
      <c r="H8" s="2">
        <v>28.4</v>
      </c>
      <c r="I8" s="19">
        <v>46033</v>
      </c>
      <c r="J8" s="1" t="s">
        <v>10</v>
      </c>
      <c r="K8" s="1" t="s">
        <v>15</v>
      </c>
    </row>
    <row r="9" spans="1:14" x14ac:dyDescent="0.5">
      <c r="A9" s="1">
        <v>4</v>
      </c>
      <c r="B9" s="1">
        <v>279579</v>
      </c>
      <c r="C9" s="1">
        <v>1</v>
      </c>
      <c r="D9" s="1">
        <v>9002073021</v>
      </c>
      <c r="E9" s="1" t="s">
        <v>14</v>
      </c>
      <c r="F9" s="1">
        <v>152460</v>
      </c>
      <c r="G9" s="1" t="s">
        <v>9</v>
      </c>
      <c r="H9" s="2">
        <v>27.58</v>
      </c>
      <c r="I9" s="19">
        <v>46033</v>
      </c>
      <c r="J9" s="1" t="s">
        <v>10</v>
      </c>
      <c r="K9" s="1" t="s">
        <v>15</v>
      </c>
    </row>
    <row r="10" spans="1:14" x14ac:dyDescent="0.5">
      <c r="A10" s="1">
        <v>9</v>
      </c>
      <c r="B10" s="1">
        <v>195776</v>
      </c>
      <c r="C10" s="1">
        <v>1</v>
      </c>
      <c r="D10" s="1">
        <v>9002073039</v>
      </c>
      <c r="E10" s="1" t="s">
        <v>14</v>
      </c>
      <c r="F10" s="1">
        <v>152457</v>
      </c>
      <c r="G10" s="1" t="s">
        <v>9</v>
      </c>
      <c r="H10" s="2">
        <v>26.66</v>
      </c>
      <c r="I10" s="19">
        <v>46033</v>
      </c>
      <c r="J10" s="1" t="s">
        <v>10</v>
      </c>
      <c r="K10" s="1" t="s">
        <v>15</v>
      </c>
    </row>
    <row r="11" spans="1:14" x14ac:dyDescent="0.5">
      <c r="A11" s="1">
        <v>48</v>
      </c>
      <c r="B11" s="1">
        <v>140965</v>
      </c>
      <c r="C11" s="1">
        <v>1</v>
      </c>
      <c r="D11" s="1">
        <v>9002073143</v>
      </c>
      <c r="E11" s="1" t="s">
        <v>14</v>
      </c>
      <c r="F11" s="1">
        <v>152456</v>
      </c>
      <c r="G11" s="1" t="s">
        <v>9</v>
      </c>
      <c r="H11" s="2">
        <v>28.58</v>
      </c>
      <c r="I11" s="19">
        <v>46033</v>
      </c>
      <c r="J11" s="1" t="s">
        <v>10</v>
      </c>
      <c r="K11" s="1" t="s">
        <v>15</v>
      </c>
    </row>
    <row r="12" spans="1:14" x14ac:dyDescent="0.5">
      <c r="A12" s="1">
        <v>49</v>
      </c>
      <c r="B12" s="1">
        <v>262371</v>
      </c>
      <c r="C12" s="1">
        <v>1</v>
      </c>
      <c r="D12" s="1">
        <v>9002073144</v>
      </c>
      <c r="E12" s="1" t="s">
        <v>14</v>
      </c>
      <c r="F12" s="1">
        <v>152454</v>
      </c>
      <c r="G12" s="1" t="s">
        <v>9</v>
      </c>
      <c r="H12" s="2">
        <v>28.56</v>
      </c>
      <c r="I12" s="19">
        <v>46033</v>
      </c>
      <c r="J12" s="1" t="s">
        <v>10</v>
      </c>
      <c r="K12" s="1" t="s">
        <v>15</v>
      </c>
    </row>
    <row r="13" spans="1:14" x14ac:dyDescent="0.5">
      <c r="A13" s="1">
        <v>64</v>
      </c>
      <c r="B13" s="1">
        <v>225293</v>
      </c>
      <c r="C13" s="1">
        <v>1</v>
      </c>
      <c r="D13" s="1">
        <v>9002073185</v>
      </c>
      <c r="E13" s="1" t="s">
        <v>14</v>
      </c>
      <c r="F13" s="1">
        <v>152463</v>
      </c>
      <c r="G13" s="1" t="s">
        <v>9</v>
      </c>
      <c r="H13" s="2">
        <v>29.62</v>
      </c>
      <c r="I13" s="19">
        <v>46033</v>
      </c>
      <c r="J13" s="1" t="s">
        <v>10</v>
      </c>
      <c r="K13" s="1" t="s">
        <v>15</v>
      </c>
    </row>
    <row r="14" spans="1:14" s="1" customFormat="1" x14ac:dyDescent="0.5">
      <c r="A14" s="1">
        <v>341</v>
      </c>
      <c r="B14" s="1">
        <v>210869</v>
      </c>
      <c r="C14" s="1">
        <v>1</v>
      </c>
      <c r="D14" s="1">
        <v>9002073895</v>
      </c>
      <c r="E14" s="1" t="s">
        <v>14</v>
      </c>
      <c r="F14" s="1">
        <v>152403</v>
      </c>
      <c r="G14" s="1" t="s">
        <v>9</v>
      </c>
      <c r="H14" s="2">
        <v>28.58</v>
      </c>
      <c r="I14" s="19">
        <v>46034</v>
      </c>
      <c r="J14" s="1" t="s">
        <v>10</v>
      </c>
      <c r="K14" s="1" t="s">
        <v>15</v>
      </c>
      <c r="N14"/>
    </row>
    <row r="15" spans="1:14" s="1" customFormat="1" x14ac:dyDescent="0.5">
      <c r="A15" s="1">
        <v>342</v>
      </c>
      <c r="B15" s="1">
        <v>225293</v>
      </c>
      <c r="C15" s="1">
        <v>1</v>
      </c>
      <c r="D15" s="1">
        <v>9002073896</v>
      </c>
      <c r="E15" s="1" t="s">
        <v>14</v>
      </c>
      <c r="F15" s="1">
        <v>152402</v>
      </c>
      <c r="G15" s="1" t="s">
        <v>9</v>
      </c>
      <c r="H15" s="2">
        <v>29.28</v>
      </c>
      <c r="I15" s="19">
        <v>46034</v>
      </c>
      <c r="J15" s="1" t="s">
        <v>10</v>
      </c>
      <c r="K15" s="1" t="s">
        <v>15</v>
      </c>
      <c r="N15"/>
    </row>
    <row r="16" spans="1:14" s="1" customFormat="1" x14ac:dyDescent="0.5">
      <c r="A16" s="1">
        <v>346</v>
      </c>
      <c r="B16" s="1">
        <v>195776</v>
      </c>
      <c r="C16" s="1">
        <v>1</v>
      </c>
      <c r="D16" s="1">
        <v>9002073904</v>
      </c>
      <c r="E16" s="1" t="s">
        <v>14</v>
      </c>
      <c r="F16" s="1">
        <v>152600</v>
      </c>
      <c r="G16" s="1" t="s">
        <v>9</v>
      </c>
      <c r="H16" s="2">
        <v>28.34</v>
      </c>
      <c r="I16" s="19">
        <v>46034</v>
      </c>
      <c r="J16" s="1" t="s">
        <v>10</v>
      </c>
      <c r="K16" s="1" t="s">
        <v>15</v>
      </c>
      <c r="N16"/>
    </row>
    <row r="17" spans="1:14" s="1" customFormat="1" x14ac:dyDescent="0.5">
      <c r="A17" s="1">
        <v>348</v>
      </c>
      <c r="B17" s="1">
        <v>225294</v>
      </c>
      <c r="C17" s="1">
        <v>1</v>
      </c>
      <c r="D17" s="1">
        <v>9002073908</v>
      </c>
      <c r="E17" s="1" t="s">
        <v>14</v>
      </c>
      <c r="F17" s="1">
        <v>152467</v>
      </c>
      <c r="G17" s="1" t="s">
        <v>9</v>
      </c>
      <c r="H17" s="2">
        <v>29.36</v>
      </c>
      <c r="I17" s="19">
        <v>46034</v>
      </c>
      <c r="J17" s="1" t="s">
        <v>10</v>
      </c>
      <c r="K17" s="1" t="s">
        <v>15</v>
      </c>
      <c r="N17"/>
    </row>
    <row r="18" spans="1:14" s="1" customFormat="1" x14ac:dyDescent="0.5">
      <c r="A18" s="1">
        <v>349</v>
      </c>
      <c r="B18" s="1">
        <v>128664</v>
      </c>
      <c r="C18" s="1">
        <v>1</v>
      </c>
      <c r="D18" s="1">
        <v>9002073910</v>
      </c>
      <c r="E18" s="1" t="s">
        <v>14</v>
      </c>
      <c r="F18" s="1">
        <v>152469</v>
      </c>
      <c r="G18" s="1" t="s">
        <v>9</v>
      </c>
      <c r="H18" s="2">
        <v>28.72</v>
      </c>
      <c r="I18" s="19">
        <v>46034</v>
      </c>
      <c r="J18" s="1" t="s">
        <v>10</v>
      </c>
      <c r="K18" s="1" t="s">
        <v>15</v>
      </c>
      <c r="N18"/>
    </row>
    <row r="19" spans="1:14" s="1" customFormat="1" x14ac:dyDescent="0.5">
      <c r="A19" s="1">
        <v>350</v>
      </c>
      <c r="B19" s="1">
        <v>262371</v>
      </c>
      <c r="C19" s="1">
        <v>1</v>
      </c>
      <c r="D19" s="1">
        <v>9002073911</v>
      </c>
      <c r="E19" s="1" t="s">
        <v>14</v>
      </c>
      <c r="F19" s="1">
        <v>156110</v>
      </c>
      <c r="G19" s="1" t="s">
        <v>11</v>
      </c>
      <c r="H19" s="2">
        <v>28.88</v>
      </c>
      <c r="I19" s="19">
        <v>46034</v>
      </c>
      <c r="J19" s="1" t="s">
        <v>10</v>
      </c>
      <c r="K19" s="1" t="s">
        <v>15</v>
      </c>
      <c r="N19"/>
    </row>
    <row r="20" spans="1:14" s="1" customFormat="1" x14ac:dyDescent="0.5">
      <c r="A20" s="1">
        <v>351</v>
      </c>
      <c r="B20" s="1">
        <v>303725</v>
      </c>
      <c r="C20" s="1">
        <v>1</v>
      </c>
      <c r="D20" s="1">
        <v>9002073913</v>
      </c>
      <c r="E20" s="1" t="s">
        <v>14</v>
      </c>
      <c r="F20" s="1">
        <v>152464</v>
      </c>
      <c r="G20" s="1" t="s">
        <v>9</v>
      </c>
      <c r="H20" s="2">
        <v>29.3</v>
      </c>
      <c r="I20" s="19">
        <v>46034</v>
      </c>
      <c r="J20" s="1" t="s">
        <v>10</v>
      </c>
      <c r="K20" s="1" t="s">
        <v>15</v>
      </c>
      <c r="N20"/>
    </row>
    <row r="21" spans="1:14" s="1" customFormat="1" x14ac:dyDescent="0.5">
      <c r="B21" s="1">
        <v>271299</v>
      </c>
      <c r="C21" s="1">
        <v>1</v>
      </c>
      <c r="D21" s="1">
        <v>9002073981</v>
      </c>
      <c r="E21" s="1" t="s">
        <v>14</v>
      </c>
      <c r="F21" s="12">
        <v>46357</v>
      </c>
      <c r="G21" s="1" t="s">
        <v>12</v>
      </c>
      <c r="H21" s="2">
        <v>28.72</v>
      </c>
      <c r="I21" s="19">
        <v>46034</v>
      </c>
      <c r="J21" s="1" t="s">
        <v>10</v>
      </c>
      <c r="K21" s="1" t="s">
        <v>15</v>
      </c>
      <c r="N21"/>
    </row>
    <row r="22" spans="1:14" s="1" customFormat="1" x14ac:dyDescent="0.5">
      <c r="A22" s="1">
        <v>386</v>
      </c>
      <c r="B22" s="1">
        <v>210869</v>
      </c>
      <c r="C22" s="1">
        <v>1</v>
      </c>
      <c r="D22" s="1">
        <v>9002074045</v>
      </c>
      <c r="E22" s="1" t="s">
        <v>14</v>
      </c>
      <c r="F22" s="1">
        <v>152404</v>
      </c>
      <c r="G22" s="1" t="s">
        <v>9</v>
      </c>
      <c r="H22" s="2">
        <v>29.24</v>
      </c>
      <c r="I22" s="19">
        <v>46034</v>
      </c>
      <c r="J22" s="1" t="s">
        <v>10</v>
      </c>
      <c r="K22" s="1" t="s">
        <v>15</v>
      </c>
      <c r="N22"/>
    </row>
    <row r="23" spans="1:14" s="1" customFormat="1" x14ac:dyDescent="0.5">
      <c r="A23" s="1">
        <v>394</v>
      </c>
      <c r="B23" s="1">
        <v>68493</v>
      </c>
      <c r="C23" s="1">
        <v>1</v>
      </c>
      <c r="D23" s="1">
        <v>9002074092</v>
      </c>
      <c r="E23" s="1" t="s">
        <v>14</v>
      </c>
      <c r="F23" s="1">
        <v>152472</v>
      </c>
      <c r="G23" s="1" t="s">
        <v>9</v>
      </c>
      <c r="H23" s="2">
        <v>30.04</v>
      </c>
      <c r="I23" s="19">
        <v>46034</v>
      </c>
      <c r="J23" s="1" t="s">
        <v>10</v>
      </c>
      <c r="K23" s="1" t="s">
        <v>15</v>
      </c>
      <c r="N23"/>
    </row>
    <row r="24" spans="1:14" s="1" customFormat="1" x14ac:dyDescent="0.5">
      <c r="B24" s="1">
        <v>279579</v>
      </c>
      <c r="C24" s="1">
        <v>1</v>
      </c>
      <c r="D24" s="1">
        <v>9002074107</v>
      </c>
      <c r="E24" s="1" t="s">
        <v>14</v>
      </c>
      <c r="F24" s="12">
        <v>46357</v>
      </c>
      <c r="G24" s="1" t="s">
        <v>12</v>
      </c>
      <c r="H24" s="2">
        <v>28.52</v>
      </c>
      <c r="I24" s="19">
        <v>46034</v>
      </c>
      <c r="J24" s="1" t="s">
        <v>10</v>
      </c>
      <c r="K24" s="1" t="s">
        <v>15</v>
      </c>
      <c r="N24"/>
    </row>
    <row r="25" spans="1:14" s="1" customFormat="1" x14ac:dyDescent="0.5">
      <c r="A25" s="9">
        <v>677</v>
      </c>
      <c r="B25" s="9">
        <v>39782</v>
      </c>
      <c r="C25" s="9">
        <v>1</v>
      </c>
      <c r="D25" s="9">
        <v>9002077286</v>
      </c>
      <c r="E25" s="11" t="s">
        <v>19</v>
      </c>
      <c r="F25" s="9">
        <v>152678</v>
      </c>
      <c r="G25" s="9" t="s">
        <v>9</v>
      </c>
      <c r="H25" s="10">
        <v>28.38</v>
      </c>
      <c r="I25" s="9">
        <v>46036</v>
      </c>
      <c r="J25" s="9" t="s">
        <v>10</v>
      </c>
      <c r="K25" s="9" t="s">
        <v>15</v>
      </c>
      <c r="N25"/>
    </row>
    <row r="26" spans="1:14" s="1" customFormat="1" x14ac:dyDescent="0.5">
      <c r="A26" s="1">
        <v>401</v>
      </c>
      <c r="B26" s="1">
        <v>225293</v>
      </c>
      <c r="C26" s="1">
        <v>1</v>
      </c>
      <c r="D26" s="1">
        <v>9002074111</v>
      </c>
      <c r="E26" s="1" t="s">
        <v>14</v>
      </c>
      <c r="F26" s="1">
        <v>156114</v>
      </c>
      <c r="G26" s="1" t="s">
        <v>11</v>
      </c>
      <c r="H26" s="2">
        <v>27.78</v>
      </c>
      <c r="I26" s="19">
        <v>46034</v>
      </c>
      <c r="J26" s="1" t="s">
        <v>10</v>
      </c>
      <c r="K26" s="1" t="s">
        <v>15</v>
      </c>
      <c r="N26"/>
    </row>
    <row r="27" spans="1:14" s="1" customFormat="1" x14ac:dyDescent="0.5">
      <c r="A27" s="1">
        <v>406</v>
      </c>
      <c r="B27" s="1">
        <v>140965</v>
      </c>
      <c r="C27" s="1">
        <v>1</v>
      </c>
      <c r="D27" s="1">
        <v>9002074122</v>
      </c>
      <c r="E27" s="1" t="s">
        <v>14</v>
      </c>
      <c r="F27" s="1">
        <v>152462</v>
      </c>
      <c r="G27" s="1" t="s">
        <v>9</v>
      </c>
      <c r="H27" s="2">
        <v>28.34</v>
      </c>
      <c r="I27" s="19">
        <v>46034</v>
      </c>
      <c r="J27" s="1" t="s">
        <v>10</v>
      </c>
      <c r="K27" s="1" t="s">
        <v>15</v>
      </c>
      <c r="N27"/>
    </row>
    <row r="28" spans="1:14" s="1" customFormat="1" x14ac:dyDescent="0.5">
      <c r="A28" s="1">
        <v>409</v>
      </c>
      <c r="B28" s="1">
        <v>298466</v>
      </c>
      <c r="C28" s="1">
        <v>1</v>
      </c>
      <c r="D28" s="1">
        <v>9002074133</v>
      </c>
      <c r="E28" s="1" t="s">
        <v>14</v>
      </c>
      <c r="F28" s="1">
        <v>156117</v>
      </c>
      <c r="G28" s="1" t="s">
        <v>11</v>
      </c>
      <c r="H28" s="2">
        <v>27.76</v>
      </c>
      <c r="I28" s="19">
        <v>46034</v>
      </c>
      <c r="J28" s="1" t="s">
        <v>10</v>
      </c>
      <c r="K28" s="1" t="s">
        <v>15</v>
      </c>
      <c r="N28"/>
    </row>
    <row r="29" spans="1:14" s="1" customFormat="1" x14ac:dyDescent="0.5">
      <c r="A29" s="1">
        <v>412</v>
      </c>
      <c r="B29" s="1">
        <v>303725</v>
      </c>
      <c r="C29" s="1">
        <v>1</v>
      </c>
      <c r="D29" s="1">
        <v>9002074144</v>
      </c>
      <c r="E29" s="1" t="s">
        <v>14</v>
      </c>
      <c r="F29" s="1">
        <v>156111</v>
      </c>
      <c r="G29" s="1" t="s">
        <v>11</v>
      </c>
      <c r="H29" s="2">
        <v>29.16</v>
      </c>
      <c r="I29" s="19">
        <v>46034</v>
      </c>
      <c r="J29" s="1" t="s">
        <v>10</v>
      </c>
      <c r="K29" s="1" t="s">
        <v>15</v>
      </c>
      <c r="N29"/>
    </row>
    <row r="30" spans="1:14" s="1" customFormat="1" x14ac:dyDescent="0.5">
      <c r="B30" s="1">
        <v>271299</v>
      </c>
      <c r="C30" s="1">
        <v>1</v>
      </c>
      <c r="D30" s="9">
        <v>9002074150</v>
      </c>
      <c r="E30" s="1" t="s">
        <v>14</v>
      </c>
      <c r="F30" s="12">
        <v>46357</v>
      </c>
      <c r="G30" s="1" t="s">
        <v>11</v>
      </c>
      <c r="H30" s="2">
        <v>28.98</v>
      </c>
      <c r="I30" s="19">
        <v>46034</v>
      </c>
      <c r="J30" s="1" t="s">
        <v>10</v>
      </c>
      <c r="K30" s="1" t="s">
        <v>15</v>
      </c>
      <c r="N30"/>
    </row>
    <row r="31" spans="1:14" s="1" customFormat="1" x14ac:dyDescent="0.5">
      <c r="B31" s="1">
        <v>307308</v>
      </c>
      <c r="C31" s="1">
        <v>1</v>
      </c>
      <c r="D31" s="1">
        <v>9002074235</v>
      </c>
      <c r="E31" s="1" t="s">
        <v>14</v>
      </c>
      <c r="F31" s="12">
        <v>46357</v>
      </c>
      <c r="G31" s="1" t="s">
        <v>12</v>
      </c>
      <c r="H31" s="2">
        <v>28.22</v>
      </c>
      <c r="I31" s="19">
        <v>46034</v>
      </c>
      <c r="J31" s="1" t="s">
        <v>10</v>
      </c>
      <c r="K31" s="1" t="s">
        <v>15</v>
      </c>
      <c r="N31"/>
    </row>
    <row r="32" spans="1:14" s="1" customFormat="1" x14ac:dyDescent="0.5">
      <c r="B32" s="1">
        <v>271299</v>
      </c>
      <c r="C32" s="1">
        <v>1</v>
      </c>
      <c r="D32" s="1">
        <v>9002074612</v>
      </c>
      <c r="E32" s="1" t="s">
        <v>14</v>
      </c>
      <c r="F32" s="12">
        <v>46357</v>
      </c>
      <c r="G32" s="1" t="s">
        <v>11</v>
      </c>
      <c r="H32" s="2">
        <v>28.36</v>
      </c>
      <c r="I32" s="19">
        <v>46034</v>
      </c>
      <c r="J32" s="1" t="s">
        <v>10</v>
      </c>
      <c r="K32" s="1" t="s">
        <v>15</v>
      </c>
      <c r="N32"/>
    </row>
    <row r="33" spans="1:14" s="1" customFormat="1" x14ac:dyDescent="0.5">
      <c r="A33" s="1">
        <v>510</v>
      </c>
      <c r="B33" s="1">
        <v>195776</v>
      </c>
      <c r="C33" s="1">
        <v>1</v>
      </c>
      <c r="D33" s="1">
        <v>9002074642</v>
      </c>
      <c r="E33" s="1" t="s">
        <v>14</v>
      </c>
      <c r="F33" s="1">
        <v>156109</v>
      </c>
      <c r="G33" s="1" t="s">
        <v>11</v>
      </c>
      <c r="H33" s="2">
        <v>28.48</v>
      </c>
      <c r="I33" s="19">
        <v>46034</v>
      </c>
      <c r="J33" s="1" t="s">
        <v>10</v>
      </c>
      <c r="K33" s="1" t="s">
        <v>15</v>
      </c>
      <c r="N33"/>
    </row>
    <row r="34" spans="1:14" s="1" customFormat="1" x14ac:dyDescent="0.5">
      <c r="A34" s="1">
        <v>687</v>
      </c>
      <c r="B34" s="1">
        <v>55295</v>
      </c>
      <c r="C34" s="1">
        <v>1</v>
      </c>
      <c r="D34" s="1">
        <v>9002077651</v>
      </c>
      <c r="E34" s="1" t="s">
        <v>14</v>
      </c>
      <c r="F34" s="1">
        <v>156130</v>
      </c>
      <c r="G34" s="1" t="s">
        <v>11</v>
      </c>
      <c r="H34" s="2">
        <v>29</v>
      </c>
      <c r="I34" s="19">
        <v>46036</v>
      </c>
      <c r="J34" s="1" t="s">
        <v>10</v>
      </c>
      <c r="K34" s="1" t="s">
        <v>15</v>
      </c>
      <c r="N34"/>
    </row>
    <row r="35" spans="1:14" s="1" customFormat="1" x14ac:dyDescent="0.5">
      <c r="A35" s="1">
        <v>688</v>
      </c>
      <c r="B35" s="1">
        <v>303725</v>
      </c>
      <c r="C35" s="1">
        <v>1</v>
      </c>
      <c r="D35" s="1">
        <v>9002077705</v>
      </c>
      <c r="E35" s="1" t="s">
        <v>14</v>
      </c>
      <c r="F35" s="1">
        <v>156137</v>
      </c>
      <c r="G35" s="1" t="s">
        <v>11</v>
      </c>
      <c r="H35" s="2">
        <v>28.02</v>
      </c>
      <c r="I35" s="19">
        <v>46036</v>
      </c>
      <c r="J35" s="1" t="s">
        <v>10</v>
      </c>
      <c r="K35" s="1" t="s">
        <v>15</v>
      </c>
      <c r="N35"/>
    </row>
    <row r="36" spans="1:14" s="1" customFormat="1" x14ac:dyDescent="0.5">
      <c r="A36" s="1">
        <v>689</v>
      </c>
      <c r="B36" s="1">
        <v>195776</v>
      </c>
      <c r="C36" s="1">
        <v>1</v>
      </c>
      <c r="D36" s="1">
        <v>9002077762</v>
      </c>
      <c r="E36" s="1" t="s">
        <v>14</v>
      </c>
      <c r="F36" s="1">
        <v>156138</v>
      </c>
      <c r="G36" s="1" t="s">
        <v>11</v>
      </c>
      <c r="H36" s="2">
        <v>28.46</v>
      </c>
      <c r="I36" s="19">
        <v>46036</v>
      </c>
      <c r="J36" s="1" t="s">
        <v>10</v>
      </c>
      <c r="K36" s="1" t="s">
        <v>15</v>
      </c>
      <c r="N36"/>
    </row>
    <row r="37" spans="1:14" s="1" customFormat="1" x14ac:dyDescent="0.5">
      <c r="A37" s="1">
        <v>690</v>
      </c>
      <c r="B37" s="1">
        <v>55295</v>
      </c>
      <c r="C37" s="1">
        <v>1</v>
      </c>
      <c r="D37" s="1">
        <v>9002077822</v>
      </c>
      <c r="E37" s="1" t="s">
        <v>14</v>
      </c>
      <c r="F37" s="1">
        <v>156131</v>
      </c>
      <c r="G37" s="1" t="s">
        <v>11</v>
      </c>
      <c r="H37" s="2">
        <v>29.04</v>
      </c>
      <c r="I37" s="19">
        <v>46036</v>
      </c>
      <c r="J37" s="1" t="s">
        <v>10</v>
      </c>
      <c r="K37" s="1" t="s">
        <v>15</v>
      </c>
      <c r="N37"/>
    </row>
    <row r="38" spans="1:14" s="1" customFormat="1" x14ac:dyDescent="0.5">
      <c r="A38" s="1">
        <v>691</v>
      </c>
      <c r="B38" s="1">
        <v>303725</v>
      </c>
      <c r="C38" s="1">
        <v>1</v>
      </c>
      <c r="D38" s="1">
        <v>9002077872</v>
      </c>
      <c r="E38" s="1" t="s">
        <v>14</v>
      </c>
      <c r="F38" s="1">
        <v>156139</v>
      </c>
      <c r="G38" s="1" t="s">
        <v>11</v>
      </c>
      <c r="H38" s="2">
        <v>28.88</v>
      </c>
      <c r="I38" s="19">
        <v>46036</v>
      </c>
      <c r="J38" s="1" t="s">
        <v>10</v>
      </c>
      <c r="K38" s="1" t="s">
        <v>15</v>
      </c>
      <c r="N38"/>
    </row>
    <row r="39" spans="1:14" s="1" customFormat="1" x14ac:dyDescent="0.5">
      <c r="B39" s="1">
        <v>271299</v>
      </c>
      <c r="C39" s="1">
        <v>1</v>
      </c>
      <c r="D39" s="1">
        <v>9002077900</v>
      </c>
      <c r="E39" s="1" t="s">
        <v>14</v>
      </c>
      <c r="F39" s="1">
        <v>156126</v>
      </c>
      <c r="G39" s="1" t="s">
        <v>11</v>
      </c>
      <c r="H39" s="2">
        <v>29.28</v>
      </c>
      <c r="I39" s="19">
        <v>46036</v>
      </c>
      <c r="J39" s="1" t="s">
        <v>10</v>
      </c>
      <c r="K39" s="1" t="s">
        <v>15</v>
      </c>
      <c r="N39"/>
    </row>
    <row r="40" spans="1:14" s="1" customFormat="1" x14ac:dyDescent="0.5">
      <c r="A40" s="1">
        <v>694</v>
      </c>
      <c r="B40" s="1">
        <v>195776</v>
      </c>
      <c r="C40" s="1">
        <v>1</v>
      </c>
      <c r="D40" s="1">
        <v>9002078001</v>
      </c>
      <c r="E40" s="1" t="s">
        <v>14</v>
      </c>
      <c r="F40" s="1">
        <v>156115</v>
      </c>
      <c r="G40" s="1" t="s">
        <v>11</v>
      </c>
      <c r="H40" s="2">
        <v>28.46</v>
      </c>
      <c r="I40" s="19">
        <v>46036</v>
      </c>
      <c r="J40" s="1" t="s">
        <v>10</v>
      </c>
      <c r="K40" s="1" t="s">
        <v>15</v>
      </c>
      <c r="N40"/>
    </row>
    <row r="41" spans="1:14" s="1" customFormat="1" x14ac:dyDescent="0.5">
      <c r="B41" s="1">
        <v>225293</v>
      </c>
      <c r="C41" s="1">
        <v>1</v>
      </c>
      <c r="D41" s="1">
        <v>9002078032</v>
      </c>
      <c r="E41" s="1" t="s">
        <v>14</v>
      </c>
      <c r="F41" s="1">
        <v>156116</v>
      </c>
      <c r="G41" s="1" t="s">
        <v>11</v>
      </c>
      <c r="H41" s="2">
        <v>29.54</v>
      </c>
      <c r="I41" s="19">
        <v>46036</v>
      </c>
      <c r="J41" s="1" t="s">
        <v>10</v>
      </c>
      <c r="K41" s="1" t="s">
        <v>15</v>
      </c>
      <c r="N41"/>
    </row>
    <row r="42" spans="1:14" s="1" customFormat="1" x14ac:dyDescent="0.5">
      <c r="A42" s="1">
        <v>697</v>
      </c>
      <c r="B42" s="1">
        <v>140965</v>
      </c>
      <c r="C42" s="1">
        <v>1</v>
      </c>
      <c r="D42" s="1">
        <v>9002078038</v>
      </c>
      <c r="E42" s="1" t="s">
        <v>14</v>
      </c>
      <c r="F42" s="1">
        <v>156120</v>
      </c>
      <c r="G42" s="1" t="s">
        <v>11</v>
      </c>
      <c r="H42" s="2">
        <v>28.56</v>
      </c>
      <c r="I42" s="19">
        <v>46036</v>
      </c>
      <c r="J42" s="1" t="s">
        <v>10</v>
      </c>
      <c r="K42" s="1" t="s">
        <v>15</v>
      </c>
      <c r="N42"/>
    </row>
    <row r="43" spans="1:14" s="1" customFormat="1" x14ac:dyDescent="0.5">
      <c r="A43" s="1">
        <v>699</v>
      </c>
      <c r="B43" s="1">
        <v>262371</v>
      </c>
      <c r="C43" s="1">
        <v>1</v>
      </c>
      <c r="D43" s="1">
        <v>9002078123</v>
      </c>
      <c r="E43" s="1" t="s">
        <v>14</v>
      </c>
      <c r="F43" s="1">
        <v>156141</v>
      </c>
      <c r="G43" s="1" t="s">
        <v>11</v>
      </c>
      <c r="H43" s="2">
        <v>27.62</v>
      </c>
      <c r="I43" s="19">
        <v>46036</v>
      </c>
      <c r="J43" s="1" t="s">
        <v>10</v>
      </c>
      <c r="K43" s="1" t="s">
        <v>15</v>
      </c>
      <c r="N43"/>
    </row>
    <row r="44" spans="1:14" s="1" customFormat="1" x14ac:dyDescent="0.5">
      <c r="B44" s="1">
        <v>271299</v>
      </c>
      <c r="C44" s="1">
        <v>1</v>
      </c>
      <c r="D44" s="1">
        <v>9002078144</v>
      </c>
      <c r="E44" s="1" t="s">
        <v>14</v>
      </c>
      <c r="F44" s="1" t="s">
        <v>20</v>
      </c>
      <c r="G44" s="1" t="s">
        <v>11</v>
      </c>
      <c r="H44" s="2">
        <v>28.62</v>
      </c>
      <c r="I44" s="19">
        <v>46036</v>
      </c>
      <c r="J44" s="1" t="s">
        <v>10</v>
      </c>
      <c r="K44" s="1" t="s">
        <v>15</v>
      </c>
      <c r="N44"/>
    </row>
    <row r="45" spans="1:14" s="1" customFormat="1" x14ac:dyDescent="0.5">
      <c r="A45" s="1">
        <v>702</v>
      </c>
      <c r="B45" s="1">
        <v>279579</v>
      </c>
      <c r="C45" s="1">
        <v>1</v>
      </c>
      <c r="D45" s="1">
        <v>9002078158</v>
      </c>
      <c r="E45" s="1" t="s">
        <v>14</v>
      </c>
      <c r="F45" s="1">
        <v>156121</v>
      </c>
      <c r="G45" s="1" t="s">
        <v>11</v>
      </c>
      <c r="H45" s="2">
        <v>26.28</v>
      </c>
      <c r="I45" s="19">
        <v>46036</v>
      </c>
      <c r="J45" s="1" t="s">
        <v>10</v>
      </c>
      <c r="K45" s="1" t="s">
        <v>15</v>
      </c>
      <c r="N45"/>
    </row>
    <row r="46" spans="1:14" s="1" customFormat="1" x14ac:dyDescent="0.5">
      <c r="A46" s="1">
        <v>703</v>
      </c>
      <c r="B46" s="1">
        <v>307308</v>
      </c>
      <c r="C46" s="1">
        <v>1</v>
      </c>
      <c r="D46" s="1">
        <v>9002078184</v>
      </c>
      <c r="E46" s="1" t="s">
        <v>14</v>
      </c>
      <c r="F46" s="1">
        <v>156128</v>
      </c>
      <c r="G46" s="1" t="s">
        <v>11</v>
      </c>
      <c r="H46" s="2">
        <v>27.42</v>
      </c>
      <c r="I46" s="19">
        <v>46036</v>
      </c>
      <c r="J46" s="1" t="s">
        <v>10</v>
      </c>
      <c r="K46" s="1" t="s">
        <v>15</v>
      </c>
      <c r="N46"/>
    </row>
    <row r="47" spans="1:14" s="1" customFormat="1" x14ac:dyDescent="0.5">
      <c r="A47" s="1">
        <v>704</v>
      </c>
      <c r="B47" s="1">
        <v>289617</v>
      </c>
      <c r="C47" s="1">
        <v>1</v>
      </c>
      <c r="D47" s="1">
        <v>9002078191</v>
      </c>
      <c r="E47" s="1" t="s">
        <v>14</v>
      </c>
      <c r="F47" s="1">
        <v>156122</v>
      </c>
      <c r="G47" s="1" t="s">
        <v>11</v>
      </c>
      <c r="H47" s="2">
        <v>28.16</v>
      </c>
      <c r="I47" s="19">
        <v>46036</v>
      </c>
      <c r="J47" s="1" t="s">
        <v>10</v>
      </c>
      <c r="K47" s="1" t="s">
        <v>15</v>
      </c>
      <c r="N47"/>
    </row>
    <row r="48" spans="1:14" s="1" customFormat="1" x14ac:dyDescent="0.5">
      <c r="B48" s="1">
        <v>68493</v>
      </c>
      <c r="C48" s="1">
        <v>1</v>
      </c>
      <c r="D48" s="1">
        <v>9002078452</v>
      </c>
      <c r="E48" s="1" t="s">
        <v>14</v>
      </c>
      <c r="F48" s="1">
        <v>156133</v>
      </c>
      <c r="G48" s="1" t="s">
        <v>11</v>
      </c>
      <c r="H48" s="2">
        <v>29.38</v>
      </c>
      <c r="I48" s="19">
        <v>46036</v>
      </c>
      <c r="J48" s="1" t="s">
        <v>10</v>
      </c>
      <c r="K48" s="1" t="s">
        <v>15</v>
      </c>
      <c r="N48"/>
    </row>
    <row r="49" spans="1:14" s="1" customFormat="1" x14ac:dyDescent="0.5">
      <c r="A49" s="1">
        <v>715</v>
      </c>
      <c r="B49" s="1">
        <v>307308</v>
      </c>
      <c r="C49" s="1">
        <v>1</v>
      </c>
      <c r="D49" s="1">
        <v>9002078963</v>
      </c>
      <c r="E49" s="1" t="s">
        <v>14</v>
      </c>
      <c r="F49" s="1">
        <v>152465</v>
      </c>
      <c r="G49" s="1" t="s">
        <v>12</v>
      </c>
      <c r="H49" s="2">
        <v>27.7</v>
      </c>
      <c r="I49" s="19">
        <v>46037</v>
      </c>
      <c r="J49" s="1" t="s">
        <v>10</v>
      </c>
      <c r="K49" s="1" t="s">
        <v>15</v>
      </c>
      <c r="N49"/>
    </row>
    <row r="50" spans="1:14" s="1" customFormat="1" x14ac:dyDescent="0.5">
      <c r="B50" s="1">
        <v>271299</v>
      </c>
      <c r="C50" s="1">
        <v>1</v>
      </c>
      <c r="D50" s="1">
        <v>9002078967</v>
      </c>
      <c r="E50" s="1" t="s">
        <v>14</v>
      </c>
      <c r="F50" s="1" t="s">
        <v>21</v>
      </c>
      <c r="G50" s="1" t="s">
        <v>12</v>
      </c>
      <c r="H50" s="2">
        <v>29.08</v>
      </c>
      <c r="I50" s="19">
        <v>46037</v>
      </c>
      <c r="J50" s="1" t="s">
        <v>10</v>
      </c>
      <c r="K50" s="1" t="s">
        <v>15</v>
      </c>
      <c r="N50"/>
    </row>
    <row r="51" spans="1:14" s="1" customFormat="1" x14ac:dyDescent="0.5">
      <c r="A51" s="1">
        <v>717</v>
      </c>
      <c r="B51" s="1">
        <v>289617</v>
      </c>
      <c r="C51" s="1">
        <v>1</v>
      </c>
      <c r="D51" s="1">
        <v>9002078970</v>
      </c>
      <c r="E51" s="1" t="s">
        <v>14</v>
      </c>
      <c r="F51" s="1">
        <v>156144</v>
      </c>
      <c r="G51" s="1" t="s">
        <v>11</v>
      </c>
      <c r="H51" s="2">
        <v>28.16</v>
      </c>
      <c r="I51" s="19">
        <v>46037</v>
      </c>
      <c r="J51" s="1" t="s">
        <v>10</v>
      </c>
      <c r="K51" s="1" t="s">
        <v>15</v>
      </c>
      <c r="N51"/>
    </row>
    <row r="52" spans="1:14" s="1" customFormat="1" x14ac:dyDescent="0.5">
      <c r="A52" s="1">
        <v>718</v>
      </c>
      <c r="B52" s="1">
        <v>303725</v>
      </c>
      <c r="C52" s="1">
        <v>1</v>
      </c>
      <c r="D52" s="1">
        <v>9002078972</v>
      </c>
      <c r="E52" s="1" t="s">
        <v>14</v>
      </c>
      <c r="F52" s="1">
        <v>156134</v>
      </c>
      <c r="G52" s="1" t="s">
        <v>11</v>
      </c>
      <c r="H52" s="2">
        <v>29.48</v>
      </c>
      <c r="I52" s="19">
        <v>46037</v>
      </c>
      <c r="J52" s="1" t="s">
        <v>10</v>
      </c>
      <c r="K52" s="1" t="s">
        <v>15</v>
      </c>
      <c r="N52"/>
    </row>
    <row r="53" spans="1:14" s="1" customFormat="1" x14ac:dyDescent="0.5">
      <c r="A53" s="1">
        <v>719</v>
      </c>
      <c r="B53" s="1">
        <v>195776</v>
      </c>
      <c r="C53" s="1">
        <v>1</v>
      </c>
      <c r="D53" s="1">
        <v>9002078973</v>
      </c>
      <c r="E53" s="1" t="s">
        <v>14</v>
      </c>
      <c r="F53" s="1">
        <v>156145</v>
      </c>
      <c r="G53" s="1" t="s">
        <v>11</v>
      </c>
      <c r="H53" s="2">
        <v>27.98</v>
      </c>
      <c r="I53" s="19">
        <v>46037</v>
      </c>
      <c r="J53" s="1" t="s">
        <v>10</v>
      </c>
      <c r="K53" s="1" t="s">
        <v>15</v>
      </c>
      <c r="N53"/>
    </row>
    <row r="54" spans="1:14" s="1" customFormat="1" x14ac:dyDescent="0.5">
      <c r="A54" s="1">
        <v>720</v>
      </c>
      <c r="B54" s="1">
        <v>39782</v>
      </c>
      <c r="C54" s="1">
        <v>1</v>
      </c>
      <c r="D54" s="1">
        <v>9002078974</v>
      </c>
      <c r="E54" s="1" t="s">
        <v>14</v>
      </c>
      <c r="F54" s="1">
        <v>156146</v>
      </c>
      <c r="G54" s="1" t="s">
        <v>11</v>
      </c>
      <c r="H54" s="2">
        <v>29.06</v>
      </c>
      <c r="I54" s="19">
        <v>46037</v>
      </c>
      <c r="J54" s="1" t="s">
        <v>10</v>
      </c>
      <c r="K54" s="1" t="s">
        <v>15</v>
      </c>
      <c r="N54"/>
    </row>
    <row r="55" spans="1:14" s="1" customFormat="1" x14ac:dyDescent="0.5">
      <c r="A55" s="9">
        <v>681</v>
      </c>
      <c r="B55" s="9">
        <v>307308</v>
      </c>
      <c r="C55" s="9">
        <v>1</v>
      </c>
      <c r="D55" s="9">
        <v>9002077431</v>
      </c>
      <c r="E55" s="11" t="s">
        <v>19</v>
      </c>
      <c r="F55" s="9">
        <v>152672</v>
      </c>
      <c r="G55" s="9" t="s">
        <v>9</v>
      </c>
      <c r="H55" s="10">
        <v>29.14</v>
      </c>
      <c r="I55" s="9">
        <v>46036</v>
      </c>
      <c r="J55" s="9" t="s">
        <v>10</v>
      </c>
      <c r="K55" s="9" t="s">
        <v>15</v>
      </c>
      <c r="N55"/>
    </row>
    <row r="56" spans="1:14" s="1" customFormat="1" x14ac:dyDescent="0.5">
      <c r="A56" s="1">
        <v>721</v>
      </c>
      <c r="B56" s="1">
        <v>55295</v>
      </c>
      <c r="C56" s="1">
        <v>1</v>
      </c>
      <c r="D56" s="1">
        <v>9002078986</v>
      </c>
      <c r="E56" s="1" t="s">
        <v>14</v>
      </c>
      <c r="F56" s="1">
        <v>156147</v>
      </c>
      <c r="G56" s="1" t="s">
        <v>11</v>
      </c>
      <c r="H56" s="2">
        <v>29.16</v>
      </c>
      <c r="I56" s="19">
        <v>46037</v>
      </c>
      <c r="J56" s="1" t="s">
        <v>10</v>
      </c>
      <c r="K56" s="1" t="s">
        <v>15</v>
      </c>
      <c r="N56"/>
    </row>
    <row r="57" spans="1:14" s="1" customFormat="1" x14ac:dyDescent="0.5">
      <c r="A57" s="1">
        <v>722</v>
      </c>
      <c r="B57" s="1">
        <v>128664</v>
      </c>
      <c r="C57" s="1">
        <v>1</v>
      </c>
      <c r="D57" s="1">
        <v>9002079015</v>
      </c>
      <c r="E57" s="1" t="s">
        <v>14</v>
      </c>
      <c r="F57" s="1">
        <v>156148</v>
      </c>
      <c r="G57" s="1" t="s">
        <v>11</v>
      </c>
      <c r="H57" s="2">
        <v>28.06</v>
      </c>
      <c r="I57" s="19">
        <v>46037</v>
      </c>
      <c r="J57" s="1" t="s">
        <v>10</v>
      </c>
      <c r="K57" s="1" t="s">
        <v>15</v>
      </c>
      <c r="N57"/>
    </row>
    <row r="58" spans="1:14" s="1" customFormat="1" x14ac:dyDescent="0.5">
      <c r="A58" s="1">
        <v>723</v>
      </c>
      <c r="B58" s="1">
        <v>307308</v>
      </c>
      <c r="C58" s="1">
        <v>1</v>
      </c>
      <c r="D58" s="1">
        <v>9002079142</v>
      </c>
      <c r="E58" s="1" t="s">
        <v>14</v>
      </c>
      <c r="F58" s="1">
        <v>156129</v>
      </c>
      <c r="G58" s="1" t="s">
        <v>11</v>
      </c>
      <c r="H58" s="2">
        <v>28.86</v>
      </c>
      <c r="I58" s="19">
        <v>46037</v>
      </c>
      <c r="J58" s="1" t="s">
        <v>10</v>
      </c>
      <c r="K58" s="1" t="s">
        <v>15</v>
      </c>
      <c r="N58"/>
    </row>
    <row r="59" spans="1:14" s="1" customFormat="1" x14ac:dyDescent="0.5">
      <c r="B59" s="1">
        <v>271299</v>
      </c>
      <c r="C59" s="1">
        <v>1</v>
      </c>
      <c r="D59" s="1">
        <v>9002079146</v>
      </c>
      <c r="E59" s="1" t="s">
        <v>14</v>
      </c>
      <c r="F59" s="1">
        <v>156140</v>
      </c>
      <c r="G59" s="1" t="s">
        <v>11</v>
      </c>
      <c r="H59" s="2">
        <v>29.34</v>
      </c>
      <c r="I59" s="19">
        <v>46037</v>
      </c>
      <c r="J59" s="1" t="s">
        <v>10</v>
      </c>
      <c r="K59" s="1" t="s">
        <v>15</v>
      </c>
      <c r="N59"/>
    </row>
    <row r="60" spans="1:14" s="1" customFormat="1" x14ac:dyDescent="0.5">
      <c r="A60" s="1">
        <v>725</v>
      </c>
      <c r="B60" s="1">
        <v>210869</v>
      </c>
      <c r="C60" s="1">
        <v>1</v>
      </c>
      <c r="D60" s="1">
        <v>9002079173</v>
      </c>
      <c r="E60" s="1" t="s">
        <v>14</v>
      </c>
      <c r="F60" s="1">
        <v>156135</v>
      </c>
      <c r="G60" s="1" t="s">
        <v>11</v>
      </c>
      <c r="H60" s="2">
        <v>29.26</v>
      </c>
      <c r="I60" s="19">
        <v>46037</v>
      </c>
      <c r="J60" s="1" t="s">
        <v>10</v>
      </c>
      <c r="K60" s="1" t="s">
        <v>15</v>
      </c>
      <c r="N60"/>
    </row>
    <row r="61" spans="1:14" s="1" customFormat="1" x14ac:dyDescent="0.5">
      <c r="A61" s="1">
        <v>726</v>
      </c>
      <c r="B61" s="1">
        <v>303725</v>
      </c>
      <c r="C61" s="1">
        <v>1</v>
      </c>
      <c r="D61" s="1">
        <v>9002079195</v>
      </c>
      <c r="E61" s="1" t="s">
        <v>14</v>
      </c>
      <c r="F61" s="1">
        <v>152453</v>
      </c>
      <c r="G61" s="1" t="s">
        <v>12</v>
      </c>
      <c r="H61" s="2">
        <v>29.06</v>
      </c>
      <c r="I61" s="19">
        <v>46037</v>
      </c>
      <c r="J61" s="1" t="s">
        <v>10</v>
      </c>
      <c r="K61" s="1" t="s">
        <v>15</v>
      </c>
      <c r="N61"/>
    </row>
    <row r="62" spans="1:14" s="1" customFormat="1" x14ac:dyDescent="0.5">
      <c r="A62" s="1">
        <v>727</v>
      </c>
      <c r="B62" s="1">
        <v>289617</v>
      </c>
      <c r="C62" s="1">
        <v>1</v>
      </c>
      <c r="D62" s="1">
        <v>9002079228</v>
      </c>
      <c r="E62" s="1" t="s">
        <v>14</v>
      </c>
      <c r="F62" s="1">
        <v>152468</v>
      </c>
      <c r="G62" s="1" t="s">
        <v>12</v>
      </c>
      <c r="H62" s="2">
        <v>28.52</v>
      </c>
      <c r="I62" s="19">
        <v>46037</v>
      </c>
      <c r="J62" s="1" t="s">
        <v>10</v>
      </c>
      <c r="K62" s="1" t="s">
        <v>15</v>
      </c>
      <c r="N62"/>
    </row>
    <row r="63" spans="1:14" s="1" customFormat="1" x14ac:dyDescent="0.5">
      <c r="A63" s="1">
        <v>728</v>
      </c>
      <c r="B63" s="1">
        <v>195776</v>
      </c>
      <c r="C63" s="1">
        <v>1</v>
      </c>
      <c r="D63" s="1">
        <v>9002079262</v>
      </c>
      <c r="E63" s="1" t="s">
        <v>14</v>
      </c>
      <c r="F63" s="1">
        <v>152471</v>
      </c>
      <c r="G63" s="1" t="s">
        <v>12</v>
      </c>
      <c r="H63" s="2">
        <v>28</v>
      </c>
      <c r="I63" s="19">
        <v>46037</v>
      </c>
      <c r="J63" s="1" t="s">
        <v>10</v>
      </c>
      <c r="K63" s="1" t="s">
        <v>15</v>
      </c>
      <c r="N63"/>
    </row>
    <row r="64" spans="1:14" s="1" customFormat="1" x14ac:dyDescent="0.5">
      <c r="A64" s="1">
        <v>729</v>
      </c>
      <c r="B64" s="1">
        <v>39782</v>
      </c>
      <c r="C64" s="1">
        <v>1</v>
      </c>
      <c r="D64" s="1">
        <v>9002079289</v>
      </c>
      <c r="E64" s="1" t="s">
        <v>14</v>
      </c>
      <c r="F64" s="1">
        <v>152470</v>
      </c>
      <c r="G64" s="1" t="s">
        <v>12</v>
      </c>
      <c r="H64" s="2">
        <v>28.96</v>
      </c>
      <c r="I64" s="19">
        <v>46037</v>
      </c>
      <c r="J64" s="1" t="s">
        <v>10</v>
      </c>
      <c r="K64" s="1" t="s">
        <v>15</v>
      </c>
      <c r="N64"/>
    </row>
    <row r="65" spans="1:14" s="1" customFormat="1" x14ac:dyDescent="0.5">
      <c r="A65" s="1">
        <v>730</v>
      </c>
      <c r="B65" s="1">
        <v>128664</v>
      </c>
      <c r="C65" s="1">
        <v>1</v>
      </c>
      <c r="D65" s="1">
        <v>9002079296</v>
      </c>
      <c r="E65" s="1" t="s">
        <v>14</v>
      </c>
      <c r="F65" s="1">
        <v>156150</v>
      </c>
      <c r="G65" s="1" t="s">
        <v>11</v>
      </c>
      <c r="H65" s="2">
        <v>28.92</v>
      </c>
      <c r="I65" s="19">
        <v>46037</v>
      </c>
      <c r="J65" s="1" t="s">
        <v>10</v>
      </c>
      <c r="K65" s="1" t="s">
        <v>15</v>
      </c>
      <c r="N65"/>
    </row>
    <row r="66" spans="1:14" s="1" customFormat="1" x14ac:dyDescent="0.5">
      <c r="A66" s="1">
        <v>731</v>
      </c>
      <c r="B66" s="1">
        <v>307308</v>
      </c>
      <c r="C66" s="1">
        <v>1</v>
      </c>
      <c r="D66" s="1">
        <v>9002079397</v>
      </c>
      <c r="E66" s="1" t="s">
        <v>14</v>
      </c>
      <c r="F66" s="1">
        <v>156127</v>
      </c>
      <c r="G66" s="1" t="s">
        <v>11</v>
      </c>
      <c r="H66" s="2">
        <v>28.38</v>
      </c>
      <c r="I66" s="19">
        <v>46037</v>
      </c>
      <c r="J66" s="1" t="s">
        <v>10</v>
      </c>
      <c r="K66" s="1" t="s">
        <v>15</v>
      </c>
      <c r="N66"/>
    </row>
    <row r="67" spans="1:14" s="1" customFormat="1" x14ac:dyDescent="0.5">
      <c r="B67" s="1">
        <v>271299</v>
      </c>
      <c r="C67" s="1">
        <v>1</v>
      </c>
      <c r="D67" s="1">
        <v>9002079398</v>
      </c>
      <c r="E67" s="1" t="s">
        <v>14</v>
      </c>
      <c r="F67" s="1">
        <v>156143</v>
      </c>
      <c r="G67" s="1" t="s">
        <v>11</v>
      </c>
      <c r="H67" s="2">
        <v>30</v>
      </c>
      <c r="I67" s="19">
        <v>46037</v>
      </c>
      <c r="J67" s="1" t="s">
        <v>10</v>
      </c>
      <c r="K67" s="1" t="s">
        <v>15</v>
      </c>
      <c r="N67"/>
    </row>
    <row r="68" spans="1:14" s="1" customFormat="1" x14ac:dyDescent="0.5">
      <c r="A68" s="1">
        <v>733</v>
      </c>
      <c r="B68" s="1">
        <v>195776</v>
      </c>
      <c r="C68" s="1">
        <v>1</v>
      </c>
      <c r="D68" s="1">
        <v>9002079477</v>
      </c>
      <c r="E68" s="1" t="s">
        <v>14</v>
      </c>
      <c r="F68" s="1">
        <v>152466</v>
      </c>
      <c r="G68" s="1" t="s">
        <v>12</v>
      </c>
      <c r="H68" s="2">
        <v>28</v>
      </c>
      <c r="I68" s="19">
        <v>46037</v>
      </c>
      <c r="J68" s="1" t="s">
        <v>10</v>
      </c>
      <c r="K68" s="1" t="s">
        <v>15</v>
      </c>
      <c r="N68"/>
    </row>
    <row r="69" spans="1:14" s="1" customFormat="1" x14ac:dyDescent="0.5">
      <c r="A69" s="1">
        <v>734</v>
      </c>
      <c r="B69" s="1">
        <v>128664</v>
      </c>
      <c r="C69" s="1">
        <v>1</v>
      </c>
      <c r="D69" s="1">
        <v>9002079516</v>
      </c>
      <c r="E69" s="1" t="s">
        <v>14</v>
      </c>
      <c r="F69" s="1">
        <v>156149</v>
      </c>
      <c r="G69" s="1" t="s">
        <v>11</v>
      </c>
      <c r="H69" s="2">
        <v>29.12</v>
      </c>
      <c r="I69" s="19">
        <v>46037</v>
      </c>
      <c r="J69" s="1" t="s">
        <v>10</v>
      </c>
      <c r="K69" s="1" t="s">
        <v>15</v>
      </c>
      <c r="N69"/>
    </row>
    <row r="70" spans="1:14" s="1" customFormat="1" x14ac:dyDescent="0.5">
      <c r="A70" s="1">
        <v>735</v>
      </c>
      <c r="B70" s="1">
        <v>307308</v>
      </c>
      <c r="C70" s="1">
        <v>1</v>
      </c>
      <c r="D70" s="1">
        <v>9002079579</v>
      </c>
      <c r="E70" s="1" t="s">
        <v>14</v>
      </c>
      <c r="F70" s="1">
        <v>156142</v>
      </c>
      <c r="G70" s="1" t="s">
        <v>11</v>
      </c>
      <c r="H70" s="2">
        <v>29.04</v>
      </c>
      <c r="I70" s="19">
        <v>46037</v>
      </c>
      <c r="J70" s="1" t="s">
        <v>10</v>
      </c>
      <c r="K70" s="1" t="s">
        <v>15</v>
      </c>
      <c r="N70"/>
    </row>
    <row r="71" spans="1:14" s="1" customFormat="1" x14ac:dyDescent="0.5">
      <c r="H71" s="2"/>
      <c r="N71"/>
    </row>
    <row r="72" spans="1:14" s="1" customFormat="1" x14ac:dyDescent="0.5">
      <c r="H72" s="2">
        <f>SUM(H6:H71)</f>
        <v>1861.54</v>
      </c>
      <c r="N72"/>
    </row>
    <row r="73" spans="1:14" s="1" customFormat="1" x14ac:dyDescent="0.5">
      <c r="H73" s="2">
        <v>2000</v>
      </c>
      <c r="N73"/>
    </row>
    <row r="74" spans="1:14" s="1" customFormat="1" x14ac:dyDescent="0.5">
      <c r="H74" s="2">
        <f>H73-H72</f>
        <v>138.46000000000004</v>
      </c>
      <c r="I74" s="13">
        <f>H74/28</f>
        <v>4.9450000000000012</v>
      </c>
      <c r="J74" s="1" t="s">
        <v>22</v>
      </c>
      <c r="N74"/>
    </row>
    <row r="75" spans="1:14" s="1" customFormat="1" x14ac:dyDescent="0.5">
      <c r="H75" s="2"/>
      <c r="N75"/>
    </row>
    <row r="76" spans="1:14" s="1" customFormat="1" x14ac:dyDescent="0.5">
      <c r="H76" s="2"/>
      <c r="N76"/>
    </row>
    <row r="77" spans="1:14" s="1" customFormat="1" x14ac:dyDescent="0.5">
      <c r="H77" s="2"/>
      <c r="N77"/>
    </row>
    <row r="78" spans="1:14" s="1" customFormat="1" ht="18" x14ac:dyDescent="0.55000000000000004">
      <c r="B78" s="15" t="s">
        <v>23</v>
      </c>
      <c r="C78" s="15" t="s">
        <v>24</v>
      </c>
      <c r="D78" s="15" t="s">
        <v>25</v>
      </c>
      <c r="E78" s="15"/>
      <c r="F78" s="15" t="s">
        <v>28</v>
      </c>
      <c r="G78" s="15" t="s">
        <v>29</v>
      </c>
      <c r="H78" s="2"/>
      <c r="I78" s="22"/>
      <c r="J78" s="23" t="s">
        <v>36</v>
      </c>
      <c r="K78" s="22"/>
      <c r="L78" s="22"/>
      <c r="N78"/>
    </row>
    <row r="79" spans="1:14" s="1" customFormat="1" x14ac:dyDescent="0.5">
      <c r="B79" s="15">
        <v>36</v>
      </c>
      <c r="C79" s="15" t="s">
        <v>26</v>
      </c>
      <c r="D79" s="15">
        <v>1030.94</v>
      </c>
      <c r="E79" s="16">
        <f>D79/D81</f>
        <v>0.57146816554140201</v>
      </c>
      <c r="F79" s="15">
        <f>0.6*F81</f>
        <v>1159.6199999999999</v>
      </c>
      <c r="G79" s="15">
        <f>F79-D79</f>
        <v>128.67999999999984</v>
      </c>
      <c r="H79" s="2"/>
      <c r="I79" s="24" t="s">
        <v>30</v>
      </c>
      <c r="J79" s="24" t="s">
        <v>31</v>
      </c>
      <c r="K79" s="24" t="s">
        <v>32</v>
      </c>
      <c r="L79" s="24" t="s">
        <v>33</v>
      </c>
      <c r="N79"/>
    </row>
    <row r="80" spans="1:14" s="1" customFormat="1" x14ac:dyDescent="0.5">
      <c r="B80" s="15">
        <v>27</v>
      </c>
      <c r="C80" s="15" t="s">
        <v>27</v>
      </c>
      <c r="D80" s="15">
        <v>773.08</v>
      </c>
      <c r="E80" s="16">
        <f>D80/D81</f>
        <v>0.42853183445859805</v>
      </c>
      <c r="F80" s="15">
        <f>F81*0.4</f>
        <v>773.08</v>
      </c>
      <c r="G80" s="15"/>
      <c r="H80" s="2"/>
      <c r="I80" s="20" t="s">
        <v>34</v>
      </c>
      <c r="J80" s="20">
        <v>773.08</v>
      </c>
      <c r="K80" s="21">
        <v>0.41722438773258802</v>
      </c>
      <c r="L80" s="20">
        <v>27</v>
      </c>
      <c r="N80"/>
    </row>
    <row r="81" spans="2:14" s="1" customFormat="1" ht="18.75" customHeight="1" x14ac:dyDescent="0.5">
      <c r="B81" s="15">
        <f>SUBTOTAL(9,B79:B80)</f>
        <v>63</v>
      </c>
      <c r="C81" s="15"/>
      <c r="D81" s="15">
        <f>SUBTOTAL(9,D79:D80)</f>
        <v>1804.02</v>
      </c>
      <c r="E81" s="15"/>
      <c r="F81" s="15">
        <f>D80/0.4</f>
        <v>1932.7</v>
      </c>
      <c r="G81" s="15"/>
      <c r="H81" s="2"/>
      <c r="I81" s="20" t="s">
        <v>35</v>
      </c>
      <c r="J81" s="20">
        <v>1030.94</v>
      </c>
      <c r="K81" s="21">
        <v>0.58277561226741192</v>
      </c>
      <c r="L81" s="20">
        <v>36</v>
      </c>
      <c r="N81"/>
    </row>
    <row r="82" spans="2:14" x14ac:dyDescent="0.5">
      <c r="B82" s="15">
        <v>69</v>
      </c>
      <c r="C82" s="15"/>
      <c r="D82" s="15">
        <f>2000-D81</f>
        <v>195.98000000000002</v>
      </c>
      <c r="E82" s="15"/>
      <c r="F82" s="15"/>
      <c r="G82" s="15"/>
      <c r="H82" s="2"/>
      <c r="I82" s="20"/>
      <c r="J82" s="20">
        <v>2991.34</v>
      </c>
      <c r="K82" s="20"/>
      <c r="L82" s="20">
        <f>SUBTOTAL(9,L80:L81)</f>
        <v>63</v>
      </c>
    </row>
    <row r="83" spans="2:14" s="1" customFormat="1" x14ac:dyDescent="0.5">
      <c r="B83" s="15">
        <f>B82-63</f>
        <v>6</v>
      </c>
      <c r="C83" s="15"/>
      <c r="D83" s="17">
        <f>D82/28</f>
        <v>6.9992857142857146</v>
      </c>
      <c r="E83" s="15"/>
      <c r="F83" s="15"/>
      <c r="G83" s="18"/>
      <c r="H83" s="2"/>
      <c r="N83"/>
    </row>
    <row r="84" spans="2:14" x14ac:dyDescent="0.5">
      <c r="H84" s="2"/>
    </row>
    <row r="85" spans="2:14" x14ac:dyDescent="0.5">
      <c r="H85" s="2"/>
    </row>
    <row r="86" spans="2:14" x14ac:dyDescent="0.5">
      <c r="H86" s="2"/>
    </row>
    <row r="87" spans="2:14" x14ac:dyDescent="0.5">
      <c r="H87" s="2"/>
    </row>
    <row r="88" spans="2:14" x14ac:dyDescent="0.5">
      <c r="H8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 Sraiya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Haytham Al Rifai - hot</dc:creator>
  <cp:lastModifiedBy>Alrifai, Hamza [60097804]</cp:lastModifiedBy>
  <dcterms:created xsi:type="dcterms:W3CDTF">2026-01-16T13:57:23Z</dcterms:created>
  <dcterms:modified xsi:type="dcterms:W3CDTF">2026-01-19T17:06:01Z</dcterms:modified>
</cp:coreProperties>
</file>